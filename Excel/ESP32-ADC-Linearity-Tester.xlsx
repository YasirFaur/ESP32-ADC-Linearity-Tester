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ESP32-ADC-Linearity-Tester\Excel\"/>
    </mc:Choice>
  </mc:AlternateContent>
  <bookViews>
    <workbookView xWindow="0" yWindow="0" windowWidth="15360" windowHeight="7755"/>
  </bookViews>
  <sheets>
    <sheet name="Sheet1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B1" i="1"/>
  <c r="A2" i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K34" i="1" l="1"/>
  <c r="L34" i="1"/>
  <c r="K33" i="1"/>
  <c r="L33" i="1"/>
  <c r="K32" i="1"/>
  <c r="L32" i="1"/>
  <c r="K31" i="1"/>
  <c r="L31" i="1"/>
  <c r="K30" i="1"/>
  <c r="L30" i="1"/>
  <c r="K29" i="1"/>
  <c r="L29" i="1"/>
  <c r="K28" i="1"/>
  <c r="L28" i="1"/>
  <c r="K27" i="1"/>
  <c r="L27" i="1"/>
  <c r="K26" i="1"/>
  <c r="L26" i="1"/>
  <c r="K25" i="1"/>
  <c r="L25" i="1"/>
  <c r="K24" i="1"/>
  <c r="L24" i="1"/>
  <c r="K23" i="1"/>
  <c r="L23" i="1"/>
  <c r="K22" i="1"/>
  <c r="L22" i="1"/>
  <c r="K21" i="1"/>
  <c r="L21" i="1"/>
  <c r="K20" i="1"/>
  <c r="L20" i="1"/>
  <c r="K19" i="1"/>
  <c r="L19" i="1"/>
  <c r="K18" i="1"/>
  <c r="L18" i="1"/>
  <c r="K17" i="1"/>
  <c r="L17" i="1"/>
  <c r="K16" i="1"/>
  <c r="L16" i="1"/>
  <c r="K15" i="1"/>
  <c r="L15" i="1"/>
  <c r="K14" i="1"/>
  <c r="L14" i="1"/>
  <c r="K13" i="1"/>
  <c r="L13" i="1"/>
  <c r="K12" i="1"/>
  <c r="L12" i="1"/>
  <c r="K11" i="1"/>
  <c r="L11" i="1"/>
  <c r="K10" i="1"/>
  <c r="L10" i="1"/>
  <c r="K9" i="1"/>
  <c r="L9" i="1"/>
  <c r="K8" i="1"/>
  <c r="L8" i="1"/>
  <c r="K7" i="1"/>
  <c r="L7" i="1"/>
  <c r="K6" i="1"/>
  <c r="L6" i="1"/>
  <c r="K5" i="1"/>
  <c r="L5" i="1"/>
  <c r="K4" i="1"/>
  <c r="L4" i="1"/>
  <c r="K3" i="1"/>
  <c r="L3" i="1"/>
  <c r="K2" i="1"/>
  <c r="L2" i="1"/>
  <c r="K1" i="1"/>
  <c r="L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cap="none" baseline="0"/>
              <a:t>ESP32 ADC Calibration Curve &amp; 4th-Degree Polynomial Model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[1]chart!$B$1</c:f>
              <c:strCache>
                <c:ptCount val="1"/>
                <c:pt idx="0">
                  <c:v>Mean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og"/>
            <c:dispRSqr val="0"/>
            <c:dispEq val="0"/>
          </c:trendline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og"/>
            <c:dispRSqr val="0"/>
            <c:dispEq val="0"/>
          </c:trendline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og"/>
            <c:dispRSqr val="0"/>
            <c:dispEq val="0"/>
          </c:trendline>
          <c:trendline>
            <c:spPr>
              <a:ln w="25400" cap="rnd">
                <a:solidFill>
                  <a:schemeClr val="accent6">
                    <a:alpha val="50000"/>
                  </a:schemeClr>
                </a:solidFill>
              </a:ln>
              <a:effectLst/>
            </c:spPr>
            <c:trendlineType val="poly"/>
            <c:order val="4"/>
            <c:dispRSqr val="0"/>
            <c:dispEq val="1"/>
            <c:trendlineLbl>
              <c:layout>
                <c:manualLayout>
                  <c:x val="-5.3576492593598216E-2"/>
                  <c:y val="-3.7719574668814072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8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ar-SA" sz="800" b="0" baseline="0">
                        <a:solidFill>
                          <a:schemeClr val="accent6"/>
                        </a:solidFill>
                      </a:rPr>
                      <a:t>y = 26.512x</a:t>
                    </a:r>
                    <a:r>
                      <a:rPr lang="ar-SA" sz="800" b="0" baseline="30000">
                        <a:solidFill>
                          <a:schemeClr val="accent6"/>
                        </a:solidFill>
                      </a:rPr>
                      <a:t>4</a:t>
                    </a:r>
                    <a:r>
                      <a:rPr lang="ar-SA" sz="800" b="0" baseline="0">
                        <a:solidFill>
                          <a:schemeClr val="accent6"/>
                        </a:solidFill>
                      </a:rPr>
                      <a:t> - 149.48x</a:t>
                    </a:r>
                    <a:r>
                      <a:rPr lang="ar-SA" sz="800" b="0" baseline="30000">
                        <a:solidFill>
                          <a:schemeClr val="accent6"/>
                        </a:solidFill>
                      </a:rPr>
                      <a:t>3</a:t>
                    </a:r>
                    <a:r>
                      <a:rPr lang="ar-SA" sz="800" b="0" baseline="0">
                        <a:solidFill>
                          <a:schemeClr val="accent6"/>
                        </a:solidFill>
                      </a:rPr>
                      <a:t> + 321.98x</a:t>
                    </a:r>
                    <a:r>
                      <a:rPr lang="ar-SA" sz="800" b="0" baseline="30000">
                        <a:solidFill>
                          <a:schemeClr val="accent6"/>
                        </a:solidFill>
                      </a:rPr>
                      <a:t>2</a:t>
                    </a:r>
                    <a:r>
                      <a:rPr lang="ar-SA" sz="800" b="0" baseline="0">
                        <a:solidFill>
                          <a:schemeClr val="accent6"/>
                        </a:solidFill>
                      </a:rPr>
                      <a:t> + 915.38x - 67.233</a:t>
                    </a:r>
                    <a:endParaRPr lang="ar-SA" sz="800" b="0">
                      <a:solidFill>
                        <a:schemeClr val="accent6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ar-SA"/>
                </a:p>
              </c:txPr>
            </c:trendlineLbl>
          </c:trendline>
          <c:xVal>
            <c:numRef>
              <c:f>[1]chart!$A$2:$A$34</c:f>
              <c:numCache>
                <c:formatCode>General</c:formatCode>
                <c:ptCount val="33"/>
                <c:pt idx="0">
                  <c:v>0</c:v>
                </c:pt>
                <c:pt idx="1">
                  <c:v>0.105</c:v>
                </c:pt>
                <c:pt idx="2">
                  <c:v>0.216</c:v>
                </c:pt>
                <c:pt idx="3">
                  <c:v>0.33400000000000002</c:v>
                </c:pt>
                <c:pt idx="4">
                  <c:v>0.40899999999999997</c:v>
                </c:pt>
                <c:pt idx="5">
                  <c:v>0.50800000000000001</c:v>
                </c:pt>
                <c:pt idx="6">
                  <c:v>0.60299999999999998</c:v>
                </c:pt>
                <c:pt idx="7">
                  <c:v>0.72699999999999998</c:v>
                </c:pt>
                <c:pt idx="8">
                  <c:v>0.83699999999999997</c:v>
                </c:pt>
                <c:pt idx="9">
                  <c:v>0.94599999999999995</c:v>
                </c:pt>
                <c:pt idx="10">
                  <c:v>1</c:v>
                </c:pt>
                <c:pt idx="11">
                  <c:v>1.135</c:v>
                </c:pt>
                <c:pt idx="12">
                  <c:v>1.24</c:v>
                </c:pt>
                <c:pt idx="13">
                  <c:v>1.355</c:v>
                </c:pt>
                <c:pt idx="14">
                  <c:v>1.4790000000000001</c:v>
                </c:pt>
                <c:pt idx="15">
                  <c:v>1.619</c:v>
                </c:pt>
                <c:pt idx="16">
                  <c:v>1.7210000000000001</c:v>
                </c:pt>
                <c:pt idx="17">
                  <c:v>1.847</c:v>
                </c:pt>
                <c:pt idx="18">
                  <c:v>1.98</c:v>
                </c:pt>
                <c:pt idx="19">
                  <c:v>2.044</c:v>
                </c:pt>
                <c:pt idx="20">
                  <c:v>2.1179999999999999</c:v>
                </c:pt>
                <c:pt idx="21">
                  <c:v>2.226</c:v>
                </c:pt>
                <c:pt idx="22">
                  <c:v>2.3479999999999999</c:v>
                </c:pt>
                <c:pt idx="23">
                  <c:v>2.444</c:v>
                </c:pt>
                <c:pt idx="24">
                  <c:v>2.556</c:v>
                </c:pt>
                <c:pt idx="25">
                  <c:v>2.677</c:v>
                </c:pt>
                <c:pt idx="26">
                  <c:v>2.7959999999999998</c:v>
                </c:pt>
                <c:pt idx="27">
                  <c:v>2.851</c:v>
                </c:pt>
                <c:pt idx="28">
                  <c:v>2.9449999999999998</c:v>
                </c:pt>
                <c:pt idx="29">
                  <c:v>3.04</c:v>
                </c:pt>
                <c:pt idx="30">
                  <c:v>3.1120000000000001</c:v>
                </c:pt>
                <c:pt idx="31">
                  <c:v>3.21</c:v>
                </c:pt>
                <c:pt idx="32">
                  <c:v>3.3</c:v>
                </c:pt>
              </c:numCache>
            </c:numRef>
          </c:xVal>
          <c:yVal>
            <c:numRef>
              <c:f>[1]chart!$B$2:$B$34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108.2</c:v>
                </c:pt>
                <c:pt idx="3">
                  <c:v>247.6</c:v>
                </c:pt>
                <c:pt idx="4">
                  <c:v>337</c:v>
                </c:pt>
                <c:pt idx="5">
                  <c:v>456.2</c:v>
                </c:pt>
                <c:pt idx="6">
                  <c:v>573.79999999999995</c:v>
                </c:pt>
                <c:pt idx="7">
                  <c:v>719.2</c:v>
                </c:pt>
                <c:pt idx="8">
                  <c:v>852.6</c:v>
                </c:pt>
                <c:pt idx="9">
                  <c:v>988.6</c:v>
                </c:pt>
                <c:pt idx="10">
                  <c:v>1071.4000000000001</c:v>
                </c:pt>
                <c:pt idx="11">
                  <c:v>1219.2</c:v>
                </c:pt>
                <c:pt idx="12">
                  <c:v>1352.6</c:v>
                </c:pt>
                <c:pt idx="13">
                  <c:v>1487.8</c:v>
                </c:pt>
                <c:pt idx="14">
                  <c:v>1648.2</c:v>
                </c:pt>
                <c:pt idx="15">
                  <c:v>1814.2</c:v>
                </c:pt>
                <c:pt idx="16">
                  <c:v>1935</c:v>
                </c:pt>
                <c:pt idx="17">
                  <c:v>2096.6</c:v>
                </c:pt>
                <c:pt idx="18">
                  <c:v>2254.6</c:v>
                </c:pt>
                <c:pt idx="19">
                  <c:v>2330.4</c:v>
                </c:pt>
                <c:pt idx="20">
                  <c:v>2422.4</c:v>
                </c:pt>
                <c:pt idx="21">
                  <c:v>2556.1999999999998</c:v>
                </c:pt>
                <c:pt idx="22">
                  <c:v>2705.4</c:v>
                </c:pt>
                <c:pt idx="23">
                  <c:v>2829.2</c:v>
                </c:pt>
                <c:pt idx="24">
                  <c:v>2982</c:v>
                </c:pt>
                <c:pt idx="25">
                  <c:v>3154.2</c:v>
                </c:pt>
                <c:pt idx="26">
                  <c:v>3344.4</c:v>
                </c:pt>
                <c:pt idx="27">
                  <c:v>3436.6</c:v>
                </c:pt>
                <c:pt idx="28">
                  <c:v>3627.8</c:v>
                </c:pt>
                <c:pt idx="29">
                  <c:v>3826</c:v>
                </c:pt>
                <c:pt idx="30">
                  <c:v>3996.2</c:v>
                </c:pt>
                <c:pt idx="31">
                  <c:v>4095</c:v>
                </c:pt>
                <c:pt idx="32">
                  <c:v>4095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41981408"/>
        <c:axId val="-1041980320"/>
      </c:scatterChart>
      <c:valAx>
        <c:axId val="-1041981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-1041980320"/>
        <c:crosses val="autoZero"/>
        <c:crossBetween val="midCat"/>
      </c:valAx>
      <c:valAx>
        <c:axId val="-104198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-104198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r-SA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[1]chart!$L$1</c:f>
              <c:strCache>
                <c:ptCount val="1"/>
                <c:pt idx="0">
                  <c:v>Voltage(V)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ar-SA"/>
                </a:p>
              </c:txPr>
            </c:trendlineLbl>
          </c:trendline>
          <c:xVal>
            <c:numRef>
              <c:f>[1]chart!$K$2:$K$34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108.2</c:v>
                </c:pt>
                <c:pt idx="3">
                  <c:v>247.6</c:v>
                </c:pt>
                <c:pt idx="4">
                  <c:v>337</c:v>
                </c:pt>
                <c:pt idx="5">
                  <c:v>456.2</c:v>
                </c:pt>
                <c:pt idx="6">
                  <c:v>573.79999999999995</c:v>
                </c:pt>
                <c:pt idx="7">
                  <c:v>719.2</c:v>
                </c:pt>
                <c:pt idx="8">
                  <c:v>852.6</c:v>
                </c:pt>
                <c:pt idx="9">
                  <c:v>988.6</c:v>
                </c:pt>
                <c:pt idx="10">
                  <c:v>1071.4000000000001</c:v>
                </c:pt>
                <c:pt idx="11">
                  <c:v>1219.2</c:v>
                </c:pt>
                <c:pt idx="12">
                  <c:v>1352.6</c:v>
                </c:pt>
                <c:pt idx="13">
                  <c:v>1487.8</c:v>
                </c:pt>
                <c:pt idx="14">
                  <c:v>1648.2</c:v>
                </c:pt>
                <c:pt idx="15">
                  <c:v>1814.2</c:v>
                </c:pt>
                <c:pt idx="16">
                  <c:v>1935</c:v>
                </c:pt>
                <c:pt idx="17">
                  <c:v>2096.6</c:v>
                </c:pt>
                <c:pt idx="18">
                  <c:v>2254.6</c:v>
                </c:pt>
                <c:pt idx="19">
                  <c:v>2330.4</c:v>
                </c:pt>
                <c:pt idx="20">
                  <c:v>2422.4</c:v>
                </c:pt>
                <c:pt idx="21">
                  <c:v>2556.1999999999998</c:v>
                </c:pt>
                <c:pt idx="22">
                  <c:v>2705.4</c:v>
                </c:pt>
                <c:pt idx="23">
                  <c:v>2829.2</c:v>
                </c:pt>
                <c:pt idx="24">
                  <c:v>2982</c:v>
                </c:pt>
                <c:pt idx="25">
                  <c:v>3154.2</c:v>
                </c:pt>
                <c:pt idx="26">
                  <c:v>3344.4</c:v>
                </c:pt>
                <c:pt idx="27">
                  <c:v>3436.6</c:v>
                </c:pt>
                <c:pt idx="28">
                  <c:v>3627.8</c:v>
                </c:pt>
                <c:pt idx="29">
                  <c:v>3826</c:v>
                </c:pt>
                <c:pt idx="30">
                  <c:v>3996.2</c:v>
                </c:pt>
                <c:pt idx="31">
                  <c:v>4095</c:v>
                </c:pt>
                <c:pt idx="32">
                  <c:v>4095</c:v>
                </c:pt>
              </c:numCache>
            </c:numRef>
          </c:xVal>
          <c:yVal>
            <c:numRef>
              <c:f>[1]chart!$L$2:$L$34</c:f>
              <c:numCache>
                <c:formatCode>General</c:formatCode>
                <c:ptCount val="33"/>
                <c:pt idx="0">
                  <c:v>0</c:v>
                </c:pt>
                <c:pt idx="1">
                  <c:v>0.105</c:v>
                </c:pt>
                <c:pt idx="2">
                  <c:v>0.216</c:v>
                </c:pt>
                <c:pt idx="3">
                  <c:v>0.33400000000000002</c:v>
                </c:pt>
                <c:pt idx="4">
                  <c:v>0.40899999999999997</c:v>
                </c:pt>
                <c:pt idx="5">
                  <c:v>0.50800000000000001</c:v>
                </c:pt>
                <c:pt idx="6">
                  <c:v>0.60299999999999998</c:v>
                </c:pt>
                <c:pt idx="7">
                  <c:v>0.72699999999999998</c:v>
                </c:pt>
                <c:pt idx="8">
                  <c:v>0.83699999999999997</c:v>
                </c:pt>
                <c:pt idx="9">
                  <c:v>0.94599999999999995</c:v>
                </c:pt>
                <c:pt idx="10">
                  <c:v>1</c:v>
                </c:pt>
                <c:pt idx="11">
                  <c:v>1.135</c:v>
                </c:pt>
                <c:pt idx="12">
                  <c:v>1.24</c:v>
                </c:pt>
                <c:pt idx="13">
                  <c:v>1.355</c:v>
                </c:pt>
                <c:pt idx="14">
                  <c:v>1.4790000000000001</c:v>
                </c:pt>
                <c:pt idx="15">
                  <c:v>1.619</c:v>
                </c:pt>
                <c:pt idx="16">
                  <c:v>1.7210000000000001</c:v>
                </c:pt>
                <c:pt idx="17">
                  <c:v>1.847</c:v>
                </c:pt>
                <c:pt idx="18">
                  <c:v>1.98</c:v>
                </c:pt>
                <c:pt idx="19">
                  <c:v>2.044</c:v>
                </c:pt>
                <c:pt idx="20">
                  <c:v>2.1179999999999999</c:v>
                </c:pt>
                <c:pt idx="21">
                  <c:v>2.226</c:v>
                </c:pt>
                <c:pt idx="22">
                  <c:v>2.3479999999999999</c:v>
                </c:pt>
                <c:pt idx="23">
                  <c:v>2.444</c:v>
                </c:pt>
                <c:pt idx="24">
                  <c:v>2.556</c:v>
                </c:pt>
                <c:pt idx="25">
                  <c:v>2.677</c:v>
                </c:pt>
                <c:pt idx="26">
                  <c:v>2.7959999999999998</c:v>
                </c:pt>
                <c:pt idx="27">
                  <c:v>2.851</c:v>
                </c:pt>
                <c:pt idx="28">
                  <c:v>2.9449999999999998</c:v>
                </c:pt>
                <c:pt idx="29">
                  <c:v>3.04</c:v>
                </c:pt>
                <c:pt idx="30">
                  <c:v>3.1120000000000001</c:v>
                </c:pt>
                <c:pt idx="31">
                  <c:v>3.21</c:v>
                </c:pt>
                <c:pt idx="32">
                  <c:v>3.3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41976512"/>
        <c:axId val="-1250102480"/>
      </c:scatterChart>
      <c:valAx>
        <c:axId val="-104197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-1250102480"/>
        <c:crosses val="autoZero"/>
        <c:crossBetween val="midCat"/>
      </c:valAx>
      <c:valAx>
        <c:axId val="-125010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ar-SA"/>
          </a:p>
        </c:txPr>
        <c:crossAx val="-1041976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ar-S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1</xdr:row>
      <xdr:rowOff>0</xdr:rowOff>
    </xdr:from>
    <xdr:to>
      <xdr:col>9</xdr:col>
      <xdr:colOff>590550</xdr:colOff>
      <xdr:row>19</xdr:row>
      <xdr:rowOff>95250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18</xdr:row>
      <xdr:rowOff>166687</xdr:rowOff>
    </xdr:from>
    <xdr:to>
      <xdr:col>9</xdr:col>
      <xdr:colOff>571500</xdr:colOff>
      <xdr:row>34</xdr:row>
      <xdr:rowOff>142875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P32-ADC-Linearity-Tester/Desktop-CSharp/CSharp/ESP32-ADC-Linearity-Tester/bin/Debug/net10.0/measurments%2001072026/adc_test_report%20%20%200107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c_test_report   01072026"/>
      <sheetName val="chart"/>
    </sheetNames>
    <sheetDataSet>
      <sheetData sheetId="0">
        <row r="1">
          <cell r="B1" t="str">
            <v>Voltage(V)</v>
          </cell>
          <cell r="D1" t="str">
            <v>Mean</v>
          </cell>
        </row>
        <row r="2">
          <cell r="B2">
            <v>0</v>
          </cell>
          <cell r="D2">
            <v>0</v>
          </cell>
        </row>
        <row r="3">
          <cell r="B3">
            <v>0.105</v>
          </cell>
          <cell r="D3">
            <v>0</v>
          </cell>
        </row>
        <row r="4">
          <cell r="B4">
            <v>0.216</v>
          </cell>
          <cell r="D4">
            <v>108.2</v>
          </cell>
        </row>
        <row r="5">
          <cell r="B5">
            <v>0.33400000000000002</v>
          </cell>
          <cell r="D5">
            <v>247.6</v>
          </cell>
        </row>
        <row r="6">
          <cell r="B6">
            <v>0.40899999999999997</v>
          </cell>
          <cell r="D6">
            <v>337</v>
          </cell>
        </row>
        <row r="7">
          <cell r="B7">
            <v>0.50800000000000001</v>
          </cell>
          <cell r="D7">
            <v>456.2</v>
          </cell>
        </row>
        <row r="8">
          <cell r="B8">
            <v>0.60299999999999998</v>
          </cell>
          <cell r="D8">
            <v>573.79999999999995</v>
          </cell>
        </row>
        <row r="9">
          <cell r="B9">
            <v>0.72699999999999998</v>
          </cell>
          <cell r="D9">
            <v>719.2</v>
          </cell>
        </row>
        <row r="10">
          <cell r="B10">
            <v>0.83699999999999997</v>
          </cell>
          <cell r="D10">
            <v>852.6</v>
          </cell>
        </row>
        <row r="11">
          <cell r="B11">
            <v>0.94599999999999995</v>
          </cell>
          <cell r="D11">
            <v>988.6</v>
          </cell>
        </row>
        <row r="12">
          <cell r="B12">
            <v>1</v>
          </cell>
          <cell r="D12">
            <v>1071.4000000000001</v>
          </cell>
        </row>
        <row r="13">
          <cell r="B13">
            <v>1.135</v>
          </cell>
          <cell r="D13">
            <v>1219.2</v>
          </cell>
        </row>
        <row r="14">
          <cell r="B14">
            <v>1.24</v>
          </cell>
          <cell r="D14">
            <v>1352.6</v>
          </cell>
        </row>
        <row r="15">
          <cell r="B15">
            <v>1.355</v>
          </cell>
          <cell r="D15">
            <v>1487.8</v>
          </cell>
        </row>
        <row r="16">
          <cell r="B16">
            <v>1.4790000000000001</v>
          </cell>
          <cell r="D16">
            <v>1648.2</v>
          </cell>
        </row>
        <row r="17">
          <cell r="B17">
            <v>1.619</v>
          </cell>
          <cell r="D17">
            <v>1814.2</v>
          </cell>
        </row>
        <row r="18">
          <cell r="B18">
            <v>1.7210000000000001</v>
          </cell>
          <cell r="D18">
            <v>1935</v>
          </cell>
        </row>
        <row r="19">
          <cell r="B19">
            <v>1.847</v>
          </cell>
          <cell r="D19">
            <v>2096.6</v>
          </cell>
        </row>
        <row r="20">
          <cell r="B20">
            <v>1.98</v>
          </cell>
          <cell r="D20">
            <v>2254.6</v>
          </cell>
        </row>
        <row r="21">
          <cell r="B21">
            <v>2.044</v>
          </cell>
          <cell r="D21">
            <v>2330.4</v>
          </cell>
        </row>
        <row r="22">
          <cell r="B22">
            <v>2.1179999999999999</v>
          </cell>
          <cell r="D22">
            <v>2422.4</v>
          </cell>
        </row>
        <row r="23">
          <cell r="B23">
            <v>2.226</v>
          </cell>
          <cell r="D23">
            <v>2556.1999999999998</v>
          </cell>
        </row>
        <row r="24">
          <cell r="B24">
            <v>2.3479999999999999</v>
          </cell>
          <cell r="D24">
            <v>2705.4</v>
          </cell>
        </row>
        <row r="25">
          <cell r="B25">
            <v>2.444</v>
          </cell>
          <cell r="D25">
            <v>2829.2</v>
          </cell>
        </row>
        <row r="26">
          <cell r="B26">
            <v>2.556</v>
          </cell>
          <cell r="D26">
            <v>2982</v>
          </cell>
        </row>
        <row r="27">
          <cell r="B27">
            <v>2.677</v>
          </cell>
          <cell r="D27">
            <v>3154.2</v>
          </cell>
        </row>
        <row r="28">
          <cell r="B28">
            <v>2.7959999999999998</v>
          </cell>
          <cell r="D28">
            <v>3344.4</v>
          </cell>
        </row>
        <row r="29">
          <cell r="B29">
            <v>2.851</v>
          </cell>
          <cell r="D29">
            <v>3436.6</v>
          </cell>
        </row>
        <row r="30">
          <cell r="B30">
            <v>2.9449999999999998</v>
          </cell>
          <cell r="D30">
            <v>3627.8</v>
          </cell>
        </row>
        <row r="31">
          <cell r="B31">
            <v>3.04</v>
          </cell>
          <cell r="D31">
            <v>3826</v>
          </cell>
        </row>
        <row r="32">
          <cell r="B32">
            <v>3.1120000000000001</v>
          </cell>
          <cell r="D32">
            <v>3996.2</v>
          </cell>
        </row>
        <row r="33">
          <cell r="B33">
            <v>3.21</v>
          </cell>
          <cell r="D33">
            <v>4095</v>
          </cell>
        </row>
        <row r="34">
          <cell r="B34">
            <v>3.3</v>
          </cell>
          <cell r="D34">
            <v>4095</v>
          </cell>
        </row>
      </sheetData>
      <sheetData sheetId="1">
        <row r="1">
          <cell r="B1" t="str">
            <v>Mean</v>
          </cell>
          <cell r="L1" t="str">
            <v>Voltage(V)</v>
          </cell>
        </row>
        <row r="2">
          <cell r="A2">
            <v>0</v>
          </cell>
          <cell r="B2">
            <v>0</v>
          </cell>
          <cell r="K2">
            <v>0</v>
          </cell>
          <cell r="L2">
            <v>0</v>
          </cell>
        </row>
        <row r="3">
          <cell r="A3">
            <v>0.105</v>
          </cell>
          <cell r="B3">
            <v>0</v>
          </cell>
          <cell r="K3">
            <v>0</v>
          </cell>
          <cell r="L3">
            <v>0.105</v>
          </cell>
        </row>
        <row r="4">
          <cell r="A4">
            <v>0.216</v>
          </cell>
          <cell r="B4">
            <v>108.2</v>
          </cell>
          <cell r="K4">
            <v>108.2</v>
          </cell>
          <cell r="L4">
            <v>0.216</v>
          </cell>
        </row>
        <row r="5">
          <cell r="A5">
            <v>0.33400000000000002</v>
          </cell>
          <cell r="B5">
            <v>247.6</v>
          </cell>
          <cell r="K5">
            <v>247.6</v>
          </cell>
          <cell r="L5">
            <v>0.33400000000000002</v>
          </cell>
        </row>
        <row r="6">
          <cell r="A6">
            <v>0.40899999999999997</v>
          </cell>
          <cell r="B6">
            <v>337</v>
          </cell>
          <cell r="K6">
            <v>337</v>
          </cell>
          <cell r="L6">
            <v>0.40899999999999997</v>
          </cell>
        </row>
        <row r="7">
          <cell r="A7">
            <v>0.50800000000000001</v>
          </cell>
          <cell r="B7">
            <v>456.2</v>
          </cell>
          <cell r="K7">
            <v>456.2</v>
          </cell>
          <cell r="L7">
            <v>0.50800000000000001</v>
          </cell>
        </row>
        <row r="8">
          <cell r="A8">
            <v>0.60299999999999998</v>
          </cell>
          <cell r="B8">
            <v>573.79999999999995</v>
          </cell>
          <cell r="K8">
            <v>573.79999999999995</v>
          </cell>
          <cell r="L8">
            <v>0.60299999999999998</v>
          </cell>
        </row>
        <row r="9">
          <cell r="A9">
            <v>0.72699999999999998</v>
          </cell>
          <cell r="B9">
            <v>719.2</v>
          </cell>
          <cell r="K9">
            <v>719.2</v>
          </cell>
          <cell r="L9">
            <v>0.72699999999999998</v>
          </cell>
        </row>
        <row r="10">
          <cell r="A10">
            <v>0.83699999999999997</v>
          </cell>
          <cell r="B10">
            <v>852.6</v>
          </cell>
          <cell r="K10">
            <v>852.6</v>
          </cell>
          <cell r="L10">
            <v>0.83699999999999997</v>
          </cell>
        </row>
        <row r="11">
          <cell r="A11">
            <v>0.94599999999999995</v>
          </cell>
          <cell r="B11">
            <v>988.6</v>
          </cell>
          <cell r="K11">
            <v>988.6</v>
          </cell>
          <cell r="L11">
            <v>0.94599999999999995</v>
          </cell>
        </row>
        <row r="12">
          <cell r="A12">
            <v>1</v>
          </cell>
          <cell r="B12">
            <v>1071.4000000000001</v>
          </cell>
          <cell r="K12">
            <v>1071.4000000000001</v>
          </cell>
          <cell r="L12">
            <v>1</v>
          </cell>
        </row>
        <row r="13">
          <cell r="A13">
            <v>1.135</v>
          </cell>
          <cell r="B13">
            <v>1219.2</v>
          </cell>
          <cell r="K13">
            <v>1219.2</v>
          </cell>
          <cell r="L13">
            <v>1.135</v>
          </cell>
        </row>
        <row r="14">
          <cell r="A14">
            <v>1.24</v>
          </cell>
          <cell r="B14">
            <v>1352.6</v>
          </cell>
          <cell r="K14">
            <v>1352.6</v>
          </cell>
          <cell r="L14">
            <v>1.24</v>
          </cell>
        </row>
        <row r="15">
          <cell r="A15">
            <v>1.355</v>
          </cell>
          <cell r="B15">
            <v>1487.8</v>
          </cell>
          <cell r="K15">
            <v>1487.8</v>
          </cell>
          <cell r="L15">
            <v>1.355</v>
          </cell>
        </row>
        <row r="16">
          <cell r="A16">
            <v>1.4790000000000001</v>
          </cell>
          <cell r="B16">
            <v>1648.2</v>
          </cell>
          <cell r="K16">
            <v>1648.2</v>
          </cell>
          <cell r="L16">
            <v>1.4790000000000001</v>
          </cell>
        </row>
        <row r="17">
          <cell r="A17">
            <v>1.619</v>
          </cell>
          <cell r="B17">
            <v>1814.2</v>
          </cell>
          <cell r="K17">
            <v>1814.2</v>
          </cell>
          <cell r="L17">
            <v>1.619</v>
          </cell>
        </row>
        <row r="18">
          <cell r="A18">
            <v>1.7210000000000001</v>
          </cell>
          <cell r="B18">
            <v>1935</v>
          </cell>
          <cell r="K18">
            <v>1935</v>
          </cell>
          <cell r="L18">
            <v>1.7210000000000001</v>
          </cell>
        </row>
        <row r="19">
          <cell r="A19">
            <v>1.847</v>
          </cell>
          <cell r="B19">
            <v>2096.6</v>
          </cell>
          <cell r="K19">
            <v>2096.6</v>
          </cell>
          <cell r="L19">
            <v>1.847</v>
          </cell>
        </row>
        <row r="20">
          <cell r="A20">
            <v>1.98</v>
          </cell>
          <cell r="B20">
            <v>2254.6</v>
          </cell>
          <cell r="K20">
            <v>2254.6</v>
          </cell>
          <cell r="L20">
            <v>1.98</v>
          </cell>
        </row>
        <row r="21">
          <cell r="A21">
            <v>2.044</v>
          </cell>
          <cell r="B21">
            <v>2330.4</v>
          </cell>
          <cell r="K21">
            <v>2330.4</v>
          </cell>
          <cell r="L21">
            <v>2.044</v>
          </cell>
        </row>
        <row r="22">
          <cell r="A22">
            <v>2.1179999999999999</v>
          </cell>
          <cell r="B22">
            <v>2422.4</v>
          </cell>
          <cell r="K22">
            <v>2422.4</v>
          </cell>
          <cell r="L22">
            <v>2.1179999999999999</v>
          </cell>
        </row>
        <row r="23">
          <cell r="A23">
            <v>2.226</v>
          </cell>
          <cell r="B23">
            <v>2556.1999999999998</v>
          </cell>
          <cell r="K23">
            <v>2556.1999999999998</v>
          </cell>
          <cell r="L23">
            <v>2.226</v>
          </cell>
        </row>
        <row r="24">
          <cell r="A24">
            <v>2.3479999999999999</v>
          </cell>
          <cell r="B24">
            <v>2705.4</v>
          </cell>
          <cell r="K24">
            <v>2705.4</v>
          </cell>
          <cell r="L24">
            <v>2.3479999999999999</v>
          </cell>
        </row>
        <row r="25">
          <cell r="A25">
            <v>2.444</v>
          </cell>
          <cell r="B25">
            <v>2829.2</v>
          </cell>
          <cell r="K25">
            <v>2829.2</v>
          </cell>
          <cell r="L25">
            <v>2.444</v>
          </cell>
        </row>
        <row r="26">
          <cell r="A26">
            <v>2.556</v>
          </cell>
          <cell r="B26">
            <v>2982</v>
          </cell>
          <cell r="K26">
            <v>2982</v>
          </cell>
          <cell r="L26">
            <v>2.556</v>
          </cell>
        </row>
        <row r="27">
          <cell r="A27">
            <v>2.677</v>
          </cell>
          <cell r="B27">
            <v>3154.2</v>
          </cell>
          <cell r="K27">
            <v>3154.2</v>
          </cell>
          <cell r="L27">
            <v>2.677</v>
          </cell>
        </row>
        <row r="28">
          <cell r="A28">
            <v>2.7959999999999998</v>
          </cell>
          <cell r="B28">
            <v>3344.4</v>
          </cell>
          <cell r="K28">
            <v>3344.4</v>
          </cell>
          <cell r="L28">
            <v>2.7959999999999998</v>
          </cell>
        </row>
        <row r="29">
          <cell r="A29">
            <v>2.851</v>
          </cell>
          <cell r="B29">
            <v>3436.6</v>
          </cell>
          <cell r="K29">
            <v>3436.6</v>
          </cell>
          <cell r="L29">
            <v>2.851</v>
          </cell>
        </row>
        <row r="30">
          <cell r="A30">
            <v>2.9449999999999998</v>
          </cell>
          <cell r="B30">
            <v>3627.8</v>
          </cell>
          <cell r="K30">
            <v>3627.8</v>
          </cell>
          <cell r="L30">
            <v>2.9449999999999998</v>
          </cell>
        </row>
        <row r="31">
          <cell r="A31">
            <v>3.04</v>
          </cell>
          <cell r="B31">
            <v>3826</v>
          </cell>
          <cell r="K31">
            <v>3826</v>
          </cell>
          <cell r="L31">
            <v>3.04</v>
          </cell>
        </row>
        <row r="32">
          <cell r="A32">
            <v>3.1120000000000001</v>
          </cell>
          <cell r="B32">
            <v>3996.2</v>
          </cell>
          <cell r="K32">
            <v>3996.2</v>
          </cell>
          <cell r="L32">
            <v>3.1120000000000001</v>
          </cell>
        </row>
        <row r="33">
          <cell r="A33">
            <v>3.21</v>
          </cell>
          <cell r="B33">
            <v>4095</v>
          </cell>
          <cell r="K33">
            <v>4095</v>
          </cell>
          <cell r="L33">
            <v>3.21</v>
          </cell>
        </row>
        <row r="34">
          <cell r="A34">
            <v>3.3</v>
          </cell>
          <cell r="B34">
            <v>4095</v>
          </cell>
          <cell r="K34">
            <v>4095</v>
          </cell>
          <cell r="L34">
            <v>3.3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tabSelected="1" workbookViewId="0">
      <selection activeCell="K17" sqref="K17"/>
    </sheetView>
  </sheetViews>
  <sheetFormatPr defaultRowHeight="14.25" x14ac:dyDescent="0.2"/>
  <sheetData>
    <row r="1" spans="1:12" x14ac:dyDescent="0.2">
      <c r="A1" t="str">
        <f>'[1]adc_test_report   01072026'!B1</f>
        <v>Voltage(V)</v>
      </c>
      <c r="B1" t="str">
        <f>'[1]adc_test_report   01072026'!D1</f>
        <v>Mean</v>
      </c>
      <c r="K1" t="str">
        <f>B1</f>
        <v>Mean</v>
      </c>
      <c r="L1" t="str">
        <f>A1</f>
        <v>Voltage(V)</v>
      </c>
    </row>
    <row r="2" spans="1:12" x14ac:dyDescent="0.2">
      <c r="A2">
        <f>'[1]adc_test_report   01072026'!B2</f>
        <v>0</v>
      </c>
      <c r="B2">
        <f>'[1]adc_test_report   01072026'!D2</f>
        <v>0</v>
      </c>
      <c r="K2">
        <f t="shared" ref="K2:K34" si="0">B2</f>
        <v>0</v>
      </c>
      <c r="L2">
        <f t="shared" ref="L2:L34" si="1">A2</f>
        <v>0</v>
      </c>
    </row>
    <row r="3" spans="1:12" x14ac:dyDescent="0.2">
      <c r="A3">
        <f>'[1]adc_test_report   01072026'!B3</f>
        <v>0.105</v>
      </c>
      <c r="B3">
        <f>'[1]adc_test_report   01072026'!D3</f>
        <v>0</v>
      </c>
      <c r="K3">
        <f t="shared" si="0"/>
        <v>0</v>
      </c>
      <c r="L3">
        <f t="shared" si="1"/>
        <v>0.105</v>
      </c>
    </row>
    <row r="4" spans="1:12" x14ac:dyDescent="0.2">
      <c r="A4">
        <f>'[1]adc_test_report   01072026'!B4</f>
        <v>0.216</v>
      </c>
      <c r="B4">
        <f>'[1]adc_test_report   01072026'!D4</f>
        <v>108.2</v>
      </c>
      <c r="K4">
        <f t="shared" si="0"/>
        <v>108.2</v>
      </c>
      <c r="L4">
        <f t="shared" si="1"/>
        <v>0.216</v>
      </c>
    </row>
    <row r="5" spans="1:12" x14ac:dyDescent="0.2">
      <c r="A5">
        <f>'[1]adc_test_report   01072026'!B5</f>
        <v>0.33400000000000002</v>
      </c>
      <c r="B5">
        <f>'[1]adc_test_report   01072026'!D5</f>
        <v>247.6</v>
      </c>
      <c r="K5">
        <f t="shared" si="0"/>
        <v>247.6</v>
      </c>
      <c r="L5">
        <f t="shared" si="1"/>
        <v>0.33400000000000002</v>
      </c>
    </row>
    <row r="6" spans="1:12" x14ac:dyDescent="0.2">
      <c r="A6">
        <f>'[1]adc_test_report   01072026'!B6</f>
        <v>0.40899999999999997</v>
      </c>
      <c r="B6">
        <f>'[1]adc_test_report   01072026'!D6</f>
        <v>337</v>
      </c>
      <c r="K6">
        <f t="shared" si="0"/>
        <v>337</v>
      </c>
      <c r="L6">
        <f t="shared" si="1"/>
        <v>0.40899999999999997</v>
      </c>
    </row>
    <row r="7" spans="1:12" x14ac:dyDescent="0.2">
      <c r="A7">
        <f>'[1]adc_test_report   01072026'!B7</f>
        <v>0.50800000000000001</v>
      </c>
      <c r="B7">
        <f>'[1]adc_test_report   01072026'!D7</f>
        <v>456.2</v>
      </c>
      <c r="K7">
        <f t="shared" si="0"/>
        <v>456.2</v>
      </c>
      <c r="L7">
        <f t="shared" si="1"/>
        <v>0.50800000000000001</v>
      </c>
    </row>
    <row r="8" spans="1:12" x14ac:dyDescent="0.2">
      <c r="A8">
        <f>'[1]adc_test_report   01072026'!B8</f>
        <v>0.60299999999999998</v>
      </c>
      <c r="B8">
        <f>'[1]adc_test_report   01072026'!D8</f>
        <v>573.79999999999995</v>
      </c>
      <c r="K8">
        <f t="shared" si="0"/>
        <v>573.79999999999995</v>
      </c>
      <c r="L8">
        <f t="shared" si="1"/>
        <v>0.60299999999999998</v>
      </c>
    </row>
    <row r="9" spans="1:12" x14ac:dyDescent="0.2">
      <c r="A9">
        <f>'[1]adc_test_report   01072026'!B9</f>
        <v>0.72699999999999998</v>
      </c>
      <c r="B9">
        <f>'[1]adc_test_report   01072026'!D9</f>
        <v>719.2</v>
      </c>
      <c r="K9">
        <f t="shared" si="0"/>
        <v>719.2</v>
      </c>
      <c r="L9">
        <f t="shared" si="1"/>
        <v>0.72699999999999998</v>
      </c>
    </row>
    <row r="10" spans="1:12" x14ac:dyDescent="0.2">
      <c r="A10">
        <f>'[1]adc_test_report   01072026'!B10</f>
        <v>0.83699999999999997</v>
      </c>
      <c r="B10">
        <f>'[1]adc_test_report   01072026'!D10</f>
        <v>852.6</v>
      </c>
      <c r="K10">
        <f t="shared" si="0"/>
        <v>852.6</v>
      </c>
      <c r="L10">
        <f t="shared" si="1"/>
        <v>0.83699999999999997</v>
      </c>
    </row>
    <row r="11" spans="1:12" x14ac:dyDescent="0.2">
      <c r="A11">
        <f>'[1]adc_test_report   01072026'!B11</f>
        <v>0.94599999999999995</v>
      </c>
      <c r="B11">
        <f>'[1]adc_test_report   01072026'!D11</f>
        <v>988.6</v>
      </c>
      <c r="K11">
        <f t="shared" si="0"/>
        <v>988.6</v>
      </c>
      <c r="L11">
        <f t="shared" si="1"/>
        <v>0.94599999999999995</v>
      </c>
    </row>
    <row r="12" spans="1:12" x14ac:dyDescent="0.2">
      <c r="A12">
        <f>'[1]adc_test_report   01072026'!B12</f>
        <v>1</v>
      </c>
      <c r="B12">
        <f>'[1]adc_test_report   01072026'!D12</f>
        <v>1071.4000000000001</v>
      </c>
      <c r="K12">
        <f t="shared" si="0"/>
        <v>1071.4000000000001</v>
      </c>
      <c r="L12">
        <f t="shared" si="1"/>
        <v>1</v>
      </c>
    </row>
    <row r="13" spans="1:12" x14ac:dyDescent="0.2">
      <c r="A13">
        <f>'[1]adc_test_report   01072026'!B13</f>
        <v>1.135</v>
      </c>
      <c r="B13">
        <f>'[1]adc_test_report   01072026'!D13</f>
        <v>1219.2</v>
      </c>
      <c r="K13">
        <f t="shared" si="0"/>
        <v>1219.2</v>
      </c>
      <c r="L13">
        <f t="shared" si="1"/>
        <v>1.135</v>
      </c>
    </row>
    <row r="14" spans="1:12" x14ac:dyDescent="0.2">
      <c r="A14">
        <f>'[1]adc_test_report   01072026'!B14</f>
        <v>1.24</v>
      </c>
      <c r="B14">
        <f>'[1]adc_test_report   01072026'!D14</f>
        <v>1352.6</v>
      </c>
      <c r="K14">
        <f t="shared" si="0"/>
        <v>1352.6</v>
      </c>
      <c r="L14">
        <f t="shared" si="1"/>
        <v>1.24</v>
      </c>
    </row>
    <row r="15" spans="1:12" x14ac:dyDescent="0.2">
      <c r="A15">
        <f>'[1]adc_test_report   01072026'!B15</f>
        <v>1.355</v>
      </c>
      <c r="B15">
        <f>'[1]adc_test_report   01072026'!D15</f>
        <v>1487.8</v>
      </c>
      <c r="K15">
        <f t="shared" si="0"/>
        <v>1487.8</v>
      </c>
      <c r="L15">
        <f t="shared" si="1"/>
        <v>1.355</v>
      </c>
    </row>
    <row r="16" spans="1:12" x14ac:dyDescent="0.2">
      <c r="A16">
        <f>'[1]adc_test_report   01072026'!B16</f>
        <v>1.4790000000000001</v>
      </c>
      <c r="B16">
        <f>'[1]adc_test_report   01072026'!D16</f>
        <v>1648.2</v>
      </c>
      <c r="K16">
        <f t="shared" si="0"/>
        <v>1648.2</v>
      </c>
      <c r="L16">
        <f t="shared" si="1"/>
        <v>1.4790000000000001</v>
      </c>
    </row>
    <row r="17" spans="1:12" x14ac:dyDescent="0.2">
      <c r="A17">
        <f>'[1]adc_test_report   01072026'!B17</f>
        <v>1.619</v>
      </c>
      <c r="B17">
        <f>'[1]adc_test_report   01072026'!D17</f>
        <v>1814.2</v>
      </c>
      <c r="K17">
        <f t="shared" si="0"/>
        <v>1814.2</v>
      </c>
      <c r="L17">
        <f t="shared" si="1"/>
        <v>1.619</v>
      </c>
    </row>
    <row r="18" spans="1:12" x14ac:dyDescent="0.2">
      <c r="A18">
        <f>'[1]adc_test_report   01072026'!B18</f>
        <v>1.7210000000000001</v>
      </c>
      <c r="B18">
        <f>'[1]adc_test_report   01072026'!D18</f>
        <v>1935</v>
      </c>
      <c r="K18">
        <f t="shared" si="0"/>
        <v>1935</v>
      </c>
      <c r="L18">
        <f t="shared" si="1"/>
        <v>1.7210000000000001</v>
      </c>
    </row>
    <row r="19" spans="1:12" x14ac:dyDescent="0.2">
      <c r="A19">
        <f>'[1]adc_test_report   01072026'!B19</f>
        <v>1.847</v>
      </c>
      <c r="B19">
        <f>'[1]adc_test_report   01072026'!D19</f>
        <v>2096.6</v>
      </c>
      <c r="K19">
        <f t="shared" si="0"/>
        <v>2096.6</v>
      </c>
      <c r="L19">
        <f t="shared" si="1"/>
        <v>1.847</v>
      </c>
    </row>
    <row r="20" spans="1:12" x14ac:dyDescent="0.2">
      <c r="A20">
        <f>'[1]adc_test_report   01072026'!B20</f>
        <v>1.98</v>
      </c>
      <c r="B20">
        <f>'[1]adc_test_report   01072026'!D20</f>
        <v>2254.6</v>
      </c>
      <c r="K20">
        <f t="shared" si="0"/>
        <v>2254.6</v>
      </c>
      <c r="L20">
        <f t="shared" si="1"/>
        <v>1.98</v>
      </c>
    </row>
    <row r="21" spans="1:12" x14ac:dyDescent="0.2">
      <c r="A21">
        <f>'[1]adc_test_report   01072026'!B21</f>
        <v>2.044</v>
      </c>
      <c r="B21">
        <f>'[1]adc_test_report   01072026'!D21</f>
        <v>2330.4</v>
      </c>
      <c r="K21">
        <f t="shared" si="0"/>
        <v>2330.4</v>
      </c>
      <c r="L21">
        <f t="shared" si="1"/>
        <v>2.044</v>
      </c>
    </row>
    <row r="22" spans="1:12" x14ac:dyDescent="0.2">
      <c r="A22">
        <f>'[1]adc_test_report   01072026'!B22</f>
        <v>2.1179999999999999</v>
      </c>
      <c r="B22">
        <f>'[1]adc_test_report   01072026'!D22</f>
        <v>2422.4</v>
      </c>
      <c r="K22">
        <f t="shared" si="0"/>
        <v>2422.4</v>
      </c>
      <c r="L22">
        <f t="shared" si="1"/>
        <v>2.1179999999999999</v>
      </c>
    </row>
    <row r="23" spans="1:12" x14ac:dyDescent="0.2">
      <c r="A23">
        <f>'[1]adc_test_report   01072026'!B23</f>
        <v>2.226</v>
      </c>
      <c r="B23">
        <f>'[1]adc_test_report   01072026'!D23</f>
        <v>2556.1999999999998</v>
      </c>
      <c r="K23">
        <f t="shared" si="0"/>
        <v>2556.1999999999998</v>
      </c>
      <c r="L23">
        <f t="shared" si="1"/>
        <v>2.226</v>
      </c>
    </row>
    <row r="24" spans="1:12" x14ac:dyDescent="0.2">
      <c r="A24">
        <f>'[1]adc_test_report   01072026'!B24</f>
        <v>2.3479999999999999</v>
      </c>
      <c r="B24">
        <f>'[1]adc_test_report   01072026'!D24</f>
        <v>2705.4</v>
      </c>
      <c r="K24">
        <f t="shared" si="0"/>
        <v>2705.4</v>
      </c>
      <c r="L24">
        <f t="shared" si="1"/>
        <v>2.3479999999999999</v>
      </c>
    </row>
    <row r="25" spans="1:12" x14ac:dyDescent="0.2">
      <c r="A25">
        <f>'[1]adc_test_report   01072026'!B25</f>
        <v>2.444</v>
      </c>
      <c r="B25">
        <f>'[1]adc_test_report   01072026'!D25</f>
        <v>2829.2</v>
      </c>
      <c r="K25">
        <f t="shared" si="0"/>
        <v>2829.2</v>
      </c>
      <c r="L25">
        <f t="shared" si="1"/>
        <v>2.444</v>
      </c>
    </row>
    <row r="26" spans="1:12" x14ac:dyDescent="0.2">
      <c r="A26">
        <f>'[1]adc_test_report   01072026'!B26</f>
        <v>2.556</v>
      </c>
      <c r="B26">
        <f>'[1]adc_test_report   01072026'!D26</f>
        <v>2982</v>
      </c>
      <c r="K26">
        <f t="shared" si="0"/>
        <v>2982</v>
      </c>
      <c r="L26">
        <f t="shared" si="1"/>
        <v>2.556</v>
      </c>
    </row>
    <row r="27" spans="1:12" x14ac:dyDescent="0.2">
      <c r="A27">
        <f>'[1]adc_test_report   01072026'!B27</f>
        <v>2.677</v>
      </c>
      <c r="B27">
        <f>'[1]adc_test_report   01072026'!D27</f>
        <v>3154.2</v>
      </c>
      <c r="K27">
        <f t="shared" si="0"/>
        <v>3154.2</v>
      </c>
      <c r="L27">
        <f t="shared" si="1"/>
        <v>2.677</v>
      </c>
    </row>
    <row r="28" spans="1:12" x14ac:dyDescent="0.2">
      <c r="A28">
        <f>'[1]adc_test_report   01072026'!B28</f>
        <v>2.7959999999999998</v>
      </c>
      <c r="B28">
        <f>'[1]adc_test_report   01072026'!D28</f>
        <v>3344.4</v>
      </c>
      <c r="K28">
        <f t="shared" si="0"/>
        <v>3344.4</v>
      </c>
      <c r="L28">
        <f t="shared" si="1"/>
        <v>2.7959999999999998</v>
      </c>
    </row>
    <row r="29" spans="1:12" x14ac:dyDescent="0.2">
      <c r="A29">
        <f>'[1]adc_test_report   01072026'!B29</f>
        <v>2.851</v>
      </c>
      <c r="B29">
        <f>'[1]adc_test_report   01072026'!D29</f>
        <v>3436.6</v>
      </c>
      <c r="K29">
        <f t="shared" si="0"/>
        <v>3436.6</v>
      </c>
      <c r="L29">
        <f t="shared" si="1"/>
        <v>2.851</v>
      </c>
    </row>
    <row r="30" spans="1:12" x14ac:dyDescent="0.2">
      <c r="A30">
        <f>'[1]adc_test_report   01072026'!B30</f>
        <v>2.9449999999999998</v>
      </c>
      <c r="B30">
        <f>'[1]adc_test_report   01072026'!D30</f>
        <v>3627.8</v>
      </c>
      <c r="K30">
        <f t="shared" si="0"/>
        <v>3627.8</v>
      </c>
      <c r="L30">
        <f t="shared" si="1"/>
        <v>2.9449999999999998</v>
      </c>
    </row>
    <row r="31" spans="1:12" x14ac:dyDescent="0.2">
      <c r="A31">
        <f>'[1]adc_test_report   01072026'!B31</f>
        <v>3.04</v>
      </c>
      <c r="B31">
        <f>'[1]adc_test_report   01072026'!D31</f>
        <v>3826</v>
      </c>
      <c r="K31">
        <f t="shared" si="0"/>
        <v>3826</v>
      </c>
      <c r="L31">
        <f t="shared" si="1"/>
        <v>3.04</v>
      </c>
    </row>
    <row r="32" spans="1:12" x14ac:dyDescent="0.2">
      <c r="A32">
        <f>'[1]adc_test_report   01072026'!B32</f>
        <v>3.1120000000000001</v>
      </c>
      <c r="B32">
        <f>'[1]adc_test_report   01072026'!D32</f>
        <v>3996.2</v>
      </c>
      <c r="K32">
        <f t="shared" si="0"/>
        <v>3996.2</v>
      </c>
      <c r="L32">
        <f t="shared" si="1"/>
        <v>3.1120000000000001</v>
      </c>
    </row>
    <row r="33" spans="1:12" x14ac:dyDescent="0.2">
      <c r="A33">
        <f>'[1]adc_test_report   01072026'!B33</f>
        <v>3.21</v>
      </c>
      <c r="B33">
        <f>'[1]adc_test_report   01072026'!D33</f>
        <v>4095</v>
      </c>
      <c r="K33">
        <f t="shared" si="0"/>
        <v>4095</v>
      </c>
      <c r="L33">
        <f t="shared" si="1"/>
        <v>3.21</v>
      </c>
    </row>
    <row r="34" spans="1:12" x14ac:dyDescent="0.2">
      <c r="A34">
        <f>'[1]adc_test_report   01072026'!B34</f>
        <v>3.3</v>
      </c>
      <c r="B34">
        <f>'[1]adc_test_report   01072026'!D34</f>
        <v>4095</v>
      </c>
      <c r="K34">
        <f t="shared" si="0"/>
        <v>4095</v>
      </c>
      <c r="L34">
        <f t="shared" si="1"/>
        <v>3.3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alawail05342566151</dc:creator>
  <cp:lastModifiedBy>alawail05342566151</cp:lastModifiedBy>
  <dcterms:created xsi:type="dcterms:W3CDTF">2026-06-29T17:38:14Z</dcterms:created>
  <dcterms:modified xsi:type="dcterms:W3CDTF">2026-07-01T09:28:06Z</dcterms:modified>
</cp:coreProperties>
</file>